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filterPrivacy="1" defaultThemeVersion="166925"/>
  <xr:revisionPtr revIDLastSave="0" documentId="8_{B04D4560-0DAB-4D1F-A9C1-A5E36E273DDF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2" i="1" l="1"/>
  <c r="D69" i="1" s="1"/>
  <c r="M42" i="1"/>
  <c r="G42" i="1"/>
  <c r="M33" i="1"/>
  <c r="L33" i="1"/>
  <c r="K33" i="1"/>
  <c r="L27" i="1"/>
  <c r="K27" i="1"/>
  <c r="M27" i="1" s="1"/>
  <c r="G27" i="1"/>
  <c r="L26" i="1"/>
  <c r="L32" i="1" s="1"/>
  <c r="F26" i="1"/>
  <c r="F32" i="1" s="1"/>
  <c r="I19" i="1"/>
  <c r="H19" i="1"/>
  <c r="G19" i="1"/>
  <c r="F19" i="1"/>
  <c r="E19" i="1"/>
  <c r="D19" i="1"/>
  <c r="D21" i="1" s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L19" i="1" s="1"/>
  <c r="K14" i="1"/>
  <c r="K19" i="1" s="1"/>
  <c r="J14" i="1"/>
  <c r="J19" i="1" s="1"/>
  <c r="E26" i="1" l="1"/>
  <c r="E21" i="1"/>
  <c r="K26" i="1"/>
  <c r="F21" i="1"/>
  <c r="K32" i="1" l="1"/>
  <c r="M26" i="1"/>
  <c r="M32" i="1" s="1"/>
  <c r="E32" i="1"/>
  <c r="G32" i="1" s="1"/>
  <c r="G34" i="1" s="1"/>
  <c r="L44" i="1" s="1"/>
  <c r="L69" i="1" s="1"/>
  <c r="G26" i="1"/>
</calcChain>
</file>

<file path=xl/sharedStrings.xml><?xml version="1.0" encoding="utf-8"?>
<sst xmlns="http://schemas.openxmlformats.org/spreadsheetml/2006/main" count="89" uniqueCount="73">
  <si>
    <t>INTEGRACION DE INGRESOS DE RECAUDACION</t>
  </si>
  <si>
    <t>CODIGO: FR-TRP-CTR-AIE-208</t>
  </si>
  <si>
    <t>FECHA DE ACTUALIZACIÓN: 19/06/2025</t>
  </si>
  <si>
    <t>VERSIÓN: 00</t>
  </si>
  <si>
    <t xml:space="preserve">PROCEDIMIENTO QUE APOYA: PR-TRP-CTR-AIE-216 </t>
  </si>
  <si>
    <t>Recaudación:</t>
  </si>
  <si>
    <t>Villahermosa</t>
  </si>
  <si>
    <t>Fecha:</t>
  </si>
  <si>
    <t>00/00/0000</t>
  </si>
  <si>
    <t>Marca</t>
  </si>
  <si>
    <t>Cierre de dia CIA</t>
  </si>
  <si>
    <t>Tarjetas capturadas ERPCO</t>
  </si>
  <si>
    <t>Diferencia</t>
  </si>
  <si>
    <t>Observaciones</t>
  </si>
  <si>
    <t>Canje</t>
  </si>
  <si>
    <t>Efectivo</t>
  </si>
  <si>
    <t>Prepago</t>
  </si>
  <si>
    <t>SUR VOLKSBUS</t>
  </si>
  <si>
    <t>SUR</t>
  </si>
  <si>
    <t>TRT</t>
  </si>
  <si>
    <t>TRT VOLKSBUS</t>
  </si>
  <si>
    <t>SubTotal</t>
  </si>
  <si>
    <t>IVA 16%</t>
  </si>
  <si>
    <t>Total</t>
  </si>
  <si>
    <t>Efectivo abordo</t>
  </si>
  <si>
    <t>Prepago AhorroBus</t>
  </si>
  <si>
    <t>IVA</t>
  </si>
  <si>
    <t>(=) Cierre automatico:</t>
  </si>
  <si>
    <t>(+) Ingreso manual:</t>
  </si>
  <si>
    <t>Marca SUR VB</t>
  </si>
  <si>
    <t xml:space="preserve">SUR  </t>
  </si>
  <si>
    <t xml:space="preserve">Marca SUR  </t>
  </si>
  <si>
    <t xml:space="preserve">TRT  </t>
  </si>
  <si>
    <t>Marca TRT</t>
  </si>
  <si>
    <t>TRT  VB</t>
  </si>
  <si>
    <t>Marca TRT VB</t>
  </si>
  <si>
    <t>(=) Total Efectivo abordo</t>
  </si>
  <si>
    <t>Total Prepago abordo:</t>
  </si>
  <si>
    <t>(+) Total Efectivo:</t>
  </si>
  <si>
    <t>Otros Ingresos</t>
  </si>
  <si>
    <t>(+) Recuperación Ava Sur</t>
  </si>
  <si>
    <t>Depositos en Camino (Efectivo Abordo)</t>
  </si>
  <si>
    <t>(+) Recuperación Ava Trt</t>
  </si>
  <si>
    <t>(+) Deposito en camino recibido ERPCO</t>
  </si>
  <si>
    <t>(+) Otros ingresos Sur vb</t>
  </si>
  <si>
    <t>(+) Deposito en camino recibido manual</t>
  </si>
  <si>
    <t xml:space="preserve">(+) Otros ingresos Sur </t>
  </si>
  <si>
    <t>(+) Otros ingresos Trt</t>
  </si>
  <si>
    <t>(-) Deposito en camino comprobado en CIA</t>
  </si>
  <si>
    <t>(+) Otros ingresos Trt Vb</t>
  </si>
  <si>
    <t>(-) Deposito en camino comprobado de forma manual</t>
  </si>
  <si>
    <t>(+) Otros ingresos</t>
  </si>
  <si>
    <t>Total depositos en camino</t>
  </si>
  <si>
    <t>Total otros ingresos</t>
  </si>
  <si>
    <t>Total de efectivo a depositar:</t>
  </si>
  <si>
    <t>Observaciones:</t>
  </si>
  <si>
    <t>AJUSTES EN CIA POR -$</t>
  </si>
  <si>
    <t>Integro</t>
  </si>
  <si>
    <t>Valido</t>
  </si>
  <si>
    <t xml:space="preserve">Reviso </t>
  </si>
  <si>
    <t>NELLY JACINTO REYES</t>
  </si>
  <si>
    <t>C.P. JAIME DIAZ RODRIGUEZ</t>
  </si>
  <si>
    <t>Analista administrativo</t>
  </si>
  <si>
    <t>Jefe de Centro de Pago y Recaudación</t>
  </si>
  <si>
    <t>Administración Regional</t>
  </si>
  <si>
    <t>FICHA</t>
  </si>
  <si>
    <t>IMPORTE</t>
  </si>
  <si>
    <t>ING DEPOSITO EN CAMINO</t>
  </si>
  <si>
    <t>DEPÓSITO ANTICIPADO  CRT</t>
  </si>
  <si>
    <t>DEPÓSITO ANTICIPADO VHT</t>
  </si>
  <si>
    <t>VHT</t>
  </si>
  <si>
    <t>CRT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</si>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</sst>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u/>
      <sz val="12"/>
      <color rgb="FF7030A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9"/>
      <color rgb="FF000000"/>
      <name val="Arial"/>
      <charset val="1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0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0" fontId="5" fillId="2" borderId="7" xfId="0" applyFont="1" applyFill="1" applyBorder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6" fillId="2" borderId="8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14" fontId="8" fillId="2" borderId="0" xfId="0" applyNumberFormat="1" applyFont="1" applyFill="1"/>
    <xf numFmtId="14" fontId="2" fillId="2" borderId="0" xfId="0" applyNumberFormat="1" applyFont="1" applyFill="1"/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44" fontId="10" fillId="0" borderId="30" xfId="0" applyNumberFormat="1" applyFont="1" applyBorder="1"/>
    <xf numFmtId="44" fontId="10" fillId="0" borderId="31" xfId="0" applyNumberFormat="1" applyFont="1" applyBorder="1"/>
    <xf numFmtId="44" fontId="10" fillId="0" borderId="32" xfId="0" applyNumberFormat="1" applyFont="1" applyBorder="1"/>
    <xf numFmtId="44" fontId="11" fillId="0" borderId="33" xfId="0" applyNumberFormat="1" applyFont="1" applyBorder="1"/>
    <xf numFmtId="44" fontId="11" fillId="2" borderId="24" xfId="1" applyFont="1" applyFill="1" applyBorder="1"/>
    <xf numFmtId="44" fontId="11" fillId="0" borderId="34" xfId="0" applyNumberFormat="1" applyFont="1" applyBorder="1"/>
    <xf numFmtId="44" fontId="2" fillId="2" borderId="27" xfId="1" applyFont="1" applyFill="1" applyBorder="1"/>
    <xf numFmtId="44" fontId="2" fillId="2" borderId="24" xfId="1" applyFont="1" applyFill="1" applyBorder="1"/>
    <xf numFmtId="44" fontId="2" fillId="2" borderId="28" xfId="1" applyFont="1" applyFill="1" applyBorder="1"/>
    <xf numFmtId="0" fontId="2" fillId="2" borderId="29" xfId="0" applyFont="1" applyFill="1" applyBorder="1"/>
    <xf numFmtId="44" fontId="10" fillId="0" borderId="35" xfId="0" applyNumberFormat="1" applyFont="1" applyBorder="1"/>
    <xf numFmtId="44" fontId="10" fillId="0" borderId="36" xfId="0" applyNumberFormat="1" applyFont="1" applyBorder="1"/>
    <xf numFmtId="44" fontId="10" fillId="0" borderId="37" xfId="0" applyNumberFormat="1" applyFont="1" applyBorder="1"/>
    <xf numFmtId="44" fontId="11" fillId="2" borderId="23" xfId="1" applyFont="1" applyFill="1" applyBorder="1" applyAlignment="1"/>
    <xf numFmtId="44" fontId="11" fillId="2" borderId="24" xfId="1" applyFont="1" applyFill="1" applyBorder="1" applyAlignment="1"/>
    <xf numFmtId="44" fontId="11" fillId="2" borderId="26" xfId="1" applyFont="1" applyFill="1" applyBorder="1" applyAlignment="1"/>
    <xf numFmtId="0" fontId="6" fillId="2" borderId="29" xfId="0" applyFont="1" applyFill="1" applyBorder="1"/>
    <xf numFmtId="0" fontId="6" fillId="2" borderId="9" xfId="0" applyFont="1" applyFill="1" applyBorder="1"/>
    <xf numFmtId="44" fontId="11" fillId="2" borderId="23" xfId="1" applyFont="1" applyFill="1" applyBorder="1" applyAlignment="1">
      <alignment vertical="center"/>
    </xf>
    <xf numFmtId="44" fontId="11" fillId="2" borderId="24" xfId="1" applyFont="1" applyFill="1" applyBorder="1" applyAlignment="1">
      <alignment vertical="center"/>
    </xf>
    <xf numFmtId="44" fontId="11" fillId="2" borderId="26" xfId="1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44" fontId="11" fillId="2" borderId="38" xfId="1" applyFont="1" applyFill="1" applyBorder="1" applyAlignment="1">
      <alignment vertical="center"/>
    </xf>
    <xf numFmtId="44" fontId="11" fillId="2" borderId="39" xfId="1" applyFont="1" applyFill="1" applyBorder="1" applyAlignment="1">
      <alignment vertical="center"/>
    </xf>
    <xf numFmtId="44" fontId="11" fillId="2" borderId="40" xfId="1" applyFont="1" applyFill="1" applyBorder="1" applyAlignment="1">
      <alignment vertical="center"/>
    </xf>
    <xf numFmtId="0" fontId="6" fillId="2" borderId="41" xfId="0" applyFont="1" applyFill="1" applyBorder="1" applyAlignment="1">
      <alignment horizontal="center" vertical="center"/>
    </xf>
    <xf numFmtId="44" fontId="2" fillId="2" borderId="30" xfId="1" applyFont="1" applyFill="1" applyBorder="1" applyAlignment="1">
      <alignment vertical="center"/>
    </xf>
    <xf numFmtId="44" fontId="2" fillId="2" borderId="31" xfId="1" applyFont="1" applyFill="1" applyBorder="1" applyAlignment="1">
      <alignment vertical="center"/>
    </xf>
    <xf numFmtId="44" fontId="2" fillId="2" borderId="32" xfId="1" applyFont="1" applyFill="1" applyBorder="1" applyAlignment="1">
      <alignment vertical="center"/>
    </xf>
    <xf numFmtId="44" fontId="2" fillId="2" borderId="42" xfId="1" applyFont="1" applyFill="1" applyBorder="1" applyAlignment="1">
      <alignment vertical="center"/>
    </xf>
    <xf numFmtId="44" fontId="2" fillId="2" borderId="43" xfId="1" applyFont="1" applyFill="1" applyBorder="1" applyAlignment="1">
      <alignment vertical="center"/>
    </xf>
    <xf numFmtId="44" fontId="2" fillId="2" borderId="44" xfId="1" applyFont="1" applyFill="1" applyBorder="1" applyAlignment="1">
      <alignment vertical="center"/>
    </xf>
    <xf numFmtId="44" fontId="2" fillId="2" borderId="45" xfId="1" applyFont="1" applyFill="1" applyBorder="1"/>
    <xf numFmtId="44" fontId="2" fillId="2" borderId="39" xfId="1" applyFont="1" applyFill="1" applyBorder="1"/>
    <xf numFmtId="44" fontId="2" fillId="2" borderId="46" xfId="1" applyFont="1" applyFill="1" applyBorder="1"/>
    <xf numFmtId="0" fontId="2" fillId="2" borderId="47" xfId="0" applyFont="1" applyFill="1" applyBorder="1" applyAlignment="1">
      <alignment vertical="center"/>
    </xf>
    <xf numFmtId="0" fontId="6" fillId="4" borderId="48" xfId="0" applyFont="1" applyFill="1" applyBorder="1" applyAlignment="1">
      <alignment horizontal="center" vertical="center"/>
    </xf>
    <xf numFmtId="8" fontId="6" fillId="4" borderId="49" xfId="1" applyNumberFormat="1" applyFont="1" applyFill="1" applyBorder="1" applyAlignment="1">
      <alignment vertical="center"/>
    </xf>
    <xf numFmtId="8" fontId="6" fillId="4" borderId="50" xfId="1" applyNumberFormat="1" applyFont="1" applyFill="1" applyBorder="1" applyAlignment="1">
      <alignment vertical="center"/>
    </xf>
    <xf numFmtId="8" fontId="6" fillId="4" borderId="51" xfId="1" applyNumberFormat="1" applyFont="1" applyFill="1" applyBorder="1" applyAlignment="1">
      <alignment vertical="center"/>
    </xf>
    <xf numFmtId="8" fontId="6" fillId="4" borderId="52" xfId="1" applyNumberFormat="1" applyFont="1" applyFill="1" applyBorder="1" applyAlignment="1">
      <alignment vertical="center"/>
    </xf>
    <xf numFmtId="8" fontId="6" fillId="4" borderId="53" xfId="1" applyNumberFormat="1" applyFont="1" applyFill="1" applyBorder="1" applyAlignment="1">
      <alignment vertical="center"/>
    </xf>
    <xf numFmtId="8" fontId="6" fillId="4" borderId="54" xfId="1" applyNumberFormat="1" applyFont="1" applyFill="1" applyBorder="1" applyAlignment="1">
      <alignment vertical="center"/>
    </xf>
    <xf numFmtId="8" fontId="6" fillId="4" borderId="55" xfId="1" applyNumberFormat="1" applyFont="1" applyFill="1" applyBorder="1" applyAlignment="1">
      <alignment vertical="center"/>
    </xf>
    <xf numFmtId="8" fontId="6" fillId="4" borderId="56" xfId="1" applyNumberFormat="1" applyFont="1" applyFill="1" applyBorder="1" applyAlignment="1">
      <alignment vertical="center"/>
    </xf>
    <xf numFmtId="0" fontId="2" fillId="4" borderId="57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8" fontId="12" fillId="0" borderId="58" xfId="0" applyNumberFormat="1" applyFont="1" applyBorder="1"/>
    <xf numFmtId="8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59" xfId="0" applyFont="1" applyFill="1" applyBorder="1" applyAlignment="1">
      <alignment horizontal="center"/>
    </xf>
    <xf numFmtId="8" fontId="6" fillId="2" borderId="59" xfId="1" applyNumberFormat="1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44" fontId="6" fillId="2" borderId="0" xfId="1" applyFont="1" applyFill="1" applyBorder="1" applyAlignment="1">
      <alignment vertical="center"/>
    </xf>
    <xf numFmtId="8" fontId="6" fillId="2" borderId="0" xfId="1" applyNumberFormat="1" applyFont="1" applyFill="1" applyBorder="1" applyAlignment="1">
      <alignment vertical="center"/>
    </xf>
    <xf numFmtId="44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44" fontId="2" fillId="2" borderId="0" xfId="1" applyFont="1" applyFill="1" applyBorder="1" applyAlignment="1">
      <alignment vertical="center"/>
    </xf>
    <xf numFmtId="0" fontId="2" fillId="2" borderId="0" xfId="0" applyFont="1" applyFill="1" applyAlignment="1">
      <alignment wrapText="1"/>
    </xf>
    <xf numFmtId="44" fontId="2" fillId="2" borderId="32" xfId="0" applyNumberFormat="1" applyFont="1" applyFill="1" applyBorder="1" applyAlignment="1">
      <alignment vertical="center"/>
    </xf>
    <xf numFmtId="44" fontId="2" fillId="2" borderId="60" xfId="0" applyNumberFormat="1" applyFont="1" applyFill="1" applyBorder="1" applyAlignment="1">
      <alignment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44" fontId="6" fillId="4" borderId="0" xfId="1" applyFont="1" applyFill="1" applyBorder="1" applyAlignment="1">
      <alignment horizontal="center" vertical="center"/>
    </xf>
    <xf numFmtId="44" fontId="6" fillId="4" borderId="63" xfId="1" applyFont="1" applyFill="1" applyBorder="1" applyAlignment="1">
      <alignment horizontal="center" vertical="center"/>
    </xf>
    <xf numFmtId="44" fontId="6" fillId="4" borderId="0" xfId="1" applyFont="1" applyFill="1" applyBorder="1" applyAlignment="1">
      <alignment horizontal="center" vertical="center" wrapText="1"/>
    </xf>
    <xf numFmtId="44" fontId="6" fillId="4" borderId="0" xfId="1" applyFont="1" applyFill="1" applyBorder="1" applyAlignment="1">
      <alignment horizontal="left" vertical="center" wrapText="1"/>
    </xf>
    <xf numFmtId="0" fontId="14" fillId="2" borderId="62" xfId="0" applyFont="1" applyFill="1" applyBorder="1" applyAlignment="1">
      <alignment horizontal="left" vertical="center" wrapText="1" indent="3"/>
    </xf>
    <xf numFmtId="0" fontId="14" fillId="2" borderId="0" xfId="0" applyFont="1" applyFill="1" applyAlignment="1">
      <alignment horizontal="left" vertical="center" wrapText="1" indent="3"/>
    </xf>
    <xf numFmtId="44" fontId="2" fillId="2" borderId="0" xfId="1" applyFont="1" applyFill="1" applyBorder="1" applyAlignment="1">
      <alignment horizontal="center" vertical="center"/>
    </xf>
    <xf numFmtId="44" fontId="2" fillId="2" borderId="63" xfId="1" applyFont="1" applyFill="1" applyBorder="1" applyAlignment="1">
      <alignment horizontal="center" vertical="center"/>
    </xf>
    <xf numFmtId="44" fontId="2" fillId="2" borderId="0" xfId="1" applyFont="1" applyFill="1" applyBorder="1" applyAlignment="1">
      <alignment horizontal="left" vertical="center"/>
    </xf>
    <xf numFmtId="0" fontId="14" fillId="2" borderId="62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4" fillId="2" borderId="62" xfId="0" applyFont="1" applyFill="1" applyBorder="1" applyAlignment="1">
      <alignment vertical="center" wrapText="1" indent="3"/>
    </xf>
    <xf numFmtId="0" fontId="14" fillId="2" borderId="0" xfId="0" applyFont="1" applyFill="1" applyAlignment="1">
      <alignment vertical="center" wrapText="1" indent="3"/>
    </xf>
    <xf numFmtId="0" fontId="6" fillId="2" borderId="62" xfId="0" applyFont="1" applyFill="1" applyBorder="1" applyAlignment="1">
      <alignment horizontal="left" vertical="center" wrapText="1"/>
    </xf>
    <xf numFmtId="8" fontId="6" fillId="4" borderId="64" xfId="1" applyNumberFormat="1" applyFont="1" applyFill="1" applyBorder="1" applyAlignment="1">
      <alignment horizontal="center" vertical="center"/>
    </xf>
    <xf numFmtId="8" fontId="6" fillId="4" borderId="65" xfId="1" applyNumberFormat="1" applyFont="1" applyFill="1" applyBorder="1" applyAlignment="1">
      <alignment horizontal="center" vertical="center"/>
    </xf>
    <xf numFmtId="44" fontId="6" fillId="4" borderId="59" xfId="1" applyFont="1" applyFill="1" applyBorder="1" applyAlignment="1">
      <alignment horizontal="center" vertical="center"/>
    </xf>
    <xf numFmtId="44" fontId="6" fillId="4" borderId="65" xfId="1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2" fillId="2" borderId="63" xfId="0" applyFont="1" applyFill="1" applyBorder="1"/>
    <xf numFmtId="0" fontId="2" fillId="2" borderId="0" xfId="0" applyFont="1" applyFill="1" applyAlignment="1">
      <alignment vertical="center" wrapText="1"/>
    </xf>
    <xf numFmtId="0" fontId="6" fillId="2" borderId="66" xfId="0" applyFont="1" applyFill="1" applyBorder="1" applyAlignment="1">
      <alignment vertical="center" wrapText="1"/>
    </xf>
    <xf numFmtId="0" fontId="6" fillId="2" borderId="67" xfId="0" applyFont="1" applyFill="1" applyBorder="1" applyAlignment="1">
      <alignment vertical="center" wrapText="1"/>
    </xf>
    <xf numFmtId="8" fontId="6" fillId="4" borderId="68" xfId="1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wrapText="1"/>
    </xf>
    <xf numFmtId="0" fontId="14" fillId="2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wrapText="1"/>
    </xf>
    <xf numFmtId="0" fontId="0" fillId="2" borderId="9" xfId="0" applyFill="1" applyBorder="1"/>
    <xf numFmtId="44" fontId="2" fillId="2" borderId="69" xfId="1" applyFont="1" applyFill="1" applyBorder="1" applyAlignment="1">
      <alignment vertical="center"/>
    </xf>
    <xf numFmtId="44" fontId="6" fillId="4" borderId="59" xfId="1" applyFont="1" applyFill="1" applyBorder="1" applyAlignment="1">
      <alignment vertical="center"/>
    </xf>
    <xf numFmtId="0" fontId="0" fillId="2" borderId="9" xfId="0" applyFill="1" applyBorder="1" applyAlignment="1">
      <alignment wrapText="1"/>
    </xf>
    <xf numFmtId="0" fontId="0" fillId="2" borderId="0" xfId="0" applyFill="1"/>
    <xf numFmtId="44" fontId="15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13" fillId="2" borderId="7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2" borderId="71" xfId="0" applyFill="1" applyBorder="1" applyAlignment="1">
      <alignment horizontal="left" wrapText="1"/>
    </xf>
    <xf numFmtId="0" fontId="6" fillId="2" borderId="8" xfId="0" applyFont="1" applyFill="1" applyBorder="1" applyAlignment="1">
      <alignment horizontal="left"/>
    </xf>
    <xf numFmtId="0" fontId="0" fillId="2" borderId="8" xfId="0" applyFill="1" applyBorder="1" applyAlignment="1">
      <alignment wrapText="1"/>
    </xf>
    <xf numFmtId="0" fontId="0" fillId="2" borderId="71" xfId="0" applyFill="1" applyBorder="1" applyAlignment="1">
      <alignment horizontal="left" vertical="center" wrapText="1"/>
    </xf>
    <xf numFmtId="0" fontId="0" fillId="2" borderId="8" xfId="0" applyFill="1" applyBorder="1" applyAlignment="1">
      <alignment vertical="center" wrapText="1"/>
    </xf>
    <xf numFmtId="0" fontId="0" fillId="2" borderId="71" xfId="0" applyFill="1" applyBorder="1" applyAlignment="1">
      <alignment horizontal="left"/>
    </xf>
    <xf numFmtId="0" fontId="0" fillId="2" borderId="8" xfId="0" applyFill="1" applyBorder="1"/>
    <xf numFmtId="0" fontId="0" fillId="2" borderId="72" xfId="0" applyFill="1" applyBorder="1"/>
    <xf numFmtId="0" fontId="0" fillId="2" borderId="10" xfId="0" applyFill="1" applyBorder="1"/>
    <xf numFmtId="0" fontId="0" fillId="2" borderId="11" xfId="0" applyFill="1" applyBorder="1"/>
    <xf numFmtId="0" fontId="13" fillId="2" borderId="11" xfId="0" applyFont="1" applyFill="1" applyBorder="1"/>
    <xf numFmtId="0" fontId="0" fillId="2" borderId="12" xfId="0" applyFill="1" applyBorder="1"/>
    <xf numFmtId="0" fontId="2" fillId="2" borderId="3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74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12" xfId="0" applyFont="1" applyFill="1" applyBorder="1"/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right"/>
    </xf>
    <xf numFmtId="164" fontId="2" fillId="2" borderId="0" xfId="0" applyNumberFormat="1" applyFont="1" applyFill="1"/>
    <xf numFmtId="0" fontId="6" fillId="2" borderId="0" xfId="0" applyFont="1" applyFill="1" applyAlignment="1">
      <alignment horizontal="center"/>
    </xf>
    <xf numFmtId="165" fontId="17" fillId="0" borderId="0" xfId="0" applyNumberFormat="1" applyFont="1" applyAlignment="1">
      <alignment horizontal="right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N70"/>
  <sheetViews>
    <sheetView tabSelected="1" workbookViewId="0">
      <selection activeCell="E14" sqref="E14"/>
    </sheetView>
  </sheetViews>
  <sheetFormatPr defaultColWidth="11.42578125" defaultRowHeight="15"/>
  <cols>
    <col min="3" max="3" width="27.5703125" bestFit="1" customWidth="1"/>
    <col min="4" max="4" width="16.140625" customWidth="1"/>
    <col min="5" max="5" width="17.85546875" customWidth="1"/>
    <col min="6" max="6" width="19.7109375" customWidth="1"/>
    <col min="7" max="7" width="15.5703125" customWidth="1"/>
    <col min="8" max="8" width="14.42578125" customWidth="1"/>
    <col min="9" max="9" width="20.7109375" customWidth="1"/>
    <col min="10" max="10" width="14" customWidth="1"/>
    <col min="11" max="11" width="13.7109375" customWidth="1"/>
    <col min="12" max="12" width="13.42578125" customWidth="1"/>
    <col min="13" max="13" width="15.42578125" customWidth="1"/>
  </cols>
  <sheetData>
    <row r="1" spans="1:14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>
      <c r="A2" s="1"/>
      <c r="B2" s="2"/>
      <c r="C2" s="2"/>
      <c r="D2" s="2"/>
      <c r="E2" s="3" t="s">
        <v>0</v>
      </c>
      <c r="F2" s="4"/>
      <c r="G2" s="4"/>
      <c r="H2" s="4"/>
      <c r="I2" s="4"/>
      <c r="J2" s="4"/>
      <c r="K2" s="5"/>
      <c r="L2" s="6" t="s">
        <v>1</v>
      </c>
      <c r="M2" s="7"/>
      <c r="N2" s="8"/>
    </row>
    <row r="3" spans="1:14" ht="15.75">
      <c r="A3" s="1"/>
      <c r="B3" s="2"/>
      <c r="C3" s="2"/>
      <c r="D3" s="2"/>
      <c r="E3" s="9"/>
      <c r="F3" s="10"/>
      <c r="G3" s="10"/>
      <c r="H3" s="10"/>
      <c r="I3" s="10"/>
      <c r="J3" s="10"/>
      <c r="K3" s="11"/>
      <c r="L3" s="6" t="s">
        <v>2</v>
      </c>
      <c r="M3" s="7"/>
      <c r="N3" s="8"/>
    </row>
    <row r="4" spans="1:14" ht="15.75">
      <c r="A4" s="1"/>
      <c r="B4" s="2"/>
      <c r="C4" s="2"/>
      <c r="D4" s="2"/>
      <c r="E4" s="9"/>
      <c r="F4" s="10"/>
      <c r="G4" s="10"/>
      <c r="H4" s="10"/>
      <c r="I4" s="10"/>
      <c r="J4" s="10"/>
      <c r="K4" s="11"/>
      <c r="L4" s="6" t="s">
        <v>3</v>
      </c>
      <c r="M4" s="7"/>
      <c r="N4" s="8"/>
    </row>
    <row r="5" spans="1:14" ht="15.75">
      <c r="A5" s="1"/>
      <c r="B5" s="2"/>
      <c r="C5" s="2"/>
      <c r="D5" s="2"/>
      <c r="E5" s="12"/>
      <c r="F5" s="13"/>
      <c r="G5" s="13"/>
      <c r="H5" s="13"/>
      <c r="I5" s="13"/>
      <c r="J5" s="13"/>
      <c r="K5" s="14"/>
      <c r="L5" s="15" t="s">
        <v>4</v>
      </c>
      <c r="M5" s="16"/>
      <c r="N5" s="17"/>
    </row>
    <row r="6" spans="1:14" ht="15.75">
      <c r="A6" s="1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"/>
    </row>
    <row r="7" spans="1:14" ht="15.75">
      <c r="A7" s="1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</row>
    <row r="8" spans="1:14" ht="15.75">
      <c r="A8" s="1"/>
      <c r="B8" s="2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3"/>
    </row>
    <row r="9" spans="1:14" ht="21">
      <c r="A9" s="1"/>
      <c r="B9" s="24"/>
      <c r="C9" s="25" t="s">
        <v>5</v>
      </c>
      <c r="D9" s="26" t="s">
        <v>6</v>
      </c>
      <c r="E9" s="26"/>
      <c r="F9" s="25"/>
      <c r="G9" s="1"/>
      <c r="H9" s="1"/>
      <c r="I9" s="1"/>
      <c r="J9" s="1"/>
      <c r="K9" s="25"/>
      <c r="L9" s="25" t="s">
        <v>7</v>
      </c>
      <c r="M9" s="27" t="s">
        <v>8</v>
      </c>
      <c r="N9" s="23"/>
    </row>
    <row r="10" spans="1:14" ht="15.75">
      <c r="A10" s="1"/>
      <c r="B10" s="24"/>
      <c r="C10" s="25"/>
      <c r="D10" s="1"/>
      <c r="E10" s="25"/>
      <c r="F10" s="25"/>
      <c r="G10" s="1"/>
      <c r="H10" s="1"/>
      <c r="I10" s="1"/>
      <c r="J10" s="1"/>
      <c r="K10" s="25"/>
      <c r="L10" s="25"/>
      <c r="M10" s="28"/>
      <c r="N10" s="23"/>
    </row>
    <row r="11" spans="1:14" ht="15.75">
      <c r="A11" s="1"/>
      <c r="B11" s="22"/>
      <c r="C11" s="1"/>
      <c r="D11" s="1"/>
      <c r="E11" s="1"/>
      <c r="F11" s="1"/>
      <c r="G11" s="25"/>
      <c r="H11" s="25"/>
      <c r="I11" s="25"/>
      <c r="J11" s="25"/>
      <c r="K11" s="25"/>
      <c r="L11" s="25"/>
      <c r="M11" s="25"/>
      <c r="N11" s="23"/>
    </row>
    <row r="12" spans="1:14" ht="15.75">
      <c r="A12" s="1"/>
      <c r="B12" s="24"/>
      <c r="C12" s="29" t="s">
        <v>9</v>
      </c>
      <c r="D12" s="30" t="s">
        <v>10</v>
      </c>
      <c r="E12" s="31"/>
      <c r="F12" s="32"/>
      <c r="G12" s="30" t="s">
        <v>11</v>
      </c>
      <c r="H12" s="31"/>
      <c r="I12" s="33"/>
      <c r="J12" s="34" t="s">
        <v>12</v>
      </c>
      <c r="K12" s="35"/>
      <c r="L12" s="36"/>
      <c r="M12" s="37" t="s">
        <v>13</v>
      </c>
      <c r="N12" s="23"/>
    </row>
    <row r="13" spans="1:14" ht="15.75">
      <c r="A13" s="1"/>
      <c r="B13" s="24"/>
      <c r="C13" s="38"/>
      <c r="D13" s="39" t="s">
        <v>14</v>
      </c>
      <c r="E13" s="40" t="s">
        <v>15</v>
      </c>
      <c r="F13" s="41" t="s">
        <v>16</v>
      </c>
      <c r="G13" s="39" t="s">
        <v>14</v>
      </c>
      <c r="H13" s="40" t="s">
        <v>15</v>
      </c>
      <c r="I13" s="42" t="s">
        <v>16</v>
      </c>
      <c r="J13" s="43" t="s">
        <v>14</v>
      </c>
      <c r="K13" s="40" t="s">
        <v>15</v>
      </c>
      <c r="L13" s="44" t="s">
        <v>16</v>
      </c>
      <c r="M13" s="45"/>
      <c r="N13" s="23"/>
    </row>
    <row r="14" spans="1:14" ht="15.75">
      <c r="A14" s="1"/>
      <c r="B14" s="22"/>
      <c r="C14" s="46" t="s">
        <v>17</v>
      </c>
      <c r="D14" s="47"/>
      <c r="E14" s="47"/>
      <c r="F14" s="49"/>
      <c r="G14" s="50"/>
      <c r="H14" s="51"/>
      <c r="I14" s="52"/>
      <c r="J14" s="53">
        <f t="shared" ref="J14:L18" si="0">+D14-G14</f>
        <v>0</v>
      </c>
      <c r="K14" s="54">
        <f t="shared" si="0"/>
        <v>0</v>
      </c>
      <c r="L14" s="55">
        <f t="shared" si="0"/>
        <v>0</v>
      </c>
      <c r="M14" s="56"/>
      <c r="N14" s="23"/>
    </row>
    <row r="15" spans="1:14" ht="15.75">
      <c r="A15" s="25"/>
      <c r="B15" s="24"/>
      <c r="C15" s="46" t="s">
        <v>18</v>
      </c>
      <c r="D15" s="57"/>
      <c r="E15" s="58"/>
      <c r="F15" s="59"/>
      <c r="G15" s="60"/>
      <c r="H15" s="61"/>
      <c r="I15" s="62"/>
      <c r="J15" s="53">
        <f t="shared" si="0"/>
        <v>0</v>
      </c>
      <c r="K15" s="54">
        <f t="shared" si="0"/>
        <v>0</v>
      </c>
      <c r="L15" s="55">
        <f t="shared" si="0"/>
        <v>0</v>
      </c>
      <c r="M15" s="63"/>
      <c r="N15" s="64"/>
    </row>
    <row r="16" spans="1:14" ht="15.75">
      <c r="A16" s="1"/>
      <c r="B16" s="24"/>
      <c r="C16" s="46" t="s">
        <v>19</v>
      </c>
      <c r="D16" s="57"/>
      <c r="E16" s="58"/>
      <c r="F16" s="59"/>
      <c r="G16" s="65"/>
      <c r="H16" s="66"/>
      <c r="I16" s="67"/>
      <c r="J16" s="53">
        <f t="shared" si="0"/>
        <v>0</v>
      </c>
      <c r="K16" s="54">
        <f t="shared" si="0"/>
        <v>0</v>
      </c>
      <c r="L16" s="55">
        <f t="shared" si="0"/>
        <v>0</v>
      </c>
      <c r="M16" s="68"/>
      <c r="N16" s="23"/>
    </row>
    <row r="17" spans="1:14" ht="15.75">
      <c r="A17" s="1"/>
      <c r="B17" s="24"/>
      <c r="C17" s="46" t="s">
        <v>20</v>
      </c>
      <c r="D17" s="47"/>
      <c r="E17" s="48"/>
      <c r="F17" s="49"/>
      <c r="G17" s="69"/>
      <c r="H17" s="70"/>
      <c r="I17" s="71"/>
      <c r="J17" s="53">
        <f t="shared" si="0"/>
        <v>0</v>
      </c>
      <c r="K17" s="54">
        <f t="shared" si="0"/>
        <v>0</v>
      </c>
      <c r="L17" s="55">
        <f t="shared" si="0"/>
        <v>0</v>
      </c>
      <c r="M17" s="68"/>
      <c r="N17" s="23"/>
    </row>
    <row r="18" spans="1:14" ht="15.75">
      <c r="A18" s="1"/>
      <c r="B18" s="24"/>
      <c r="C18" s="72"/>
      <c r="D18" s="73"/>
      <c r="E18" s="74"/>
      <c r="F18" s="75"/>
      <c r="G18" s="76"/>
      <c r="H18" s="77"/>
      <c r="I18" s="78"/>
      <c r="J18" s="79">
        <f t="shared" si="0"/>
        <v>0</v>
      </c>
      <c r="K18" s="80">
        <f t="shared" si="0"/>
        <v>0</v>
      </c>
      <c r="L18" s="81">
        <f t="shared" si="0"/>
        <v>0</v>
      </c>
      <c r="M18" s="82"/>
      <c r="N18" s="23"/>
    </row>
    <row r="19" spans="1:14" ht="15.75">
      <c r="A19" s="1"/>
      <c r="B19" s="24"/>
      <c r="C19" s="83" t="s">
        <v>21</v>
      </c>
      <c r="D19" s="84">
        <f t="shared" ref="D19:L19" si="1">SUM(D14:D18)</f>
        <v>0</v>
      </c>
      <c r="E19" s="85">
        <f t="shared" si="1"/>
        <v>0</v>
      </c>
      <c r="F19" s="86">
        <f t="shared" si="1"/>
        <v>0</v>
      </c>
      <c r="G19" s="87">
        <f t="shared" si="1"/>
        <v>0</v>
      </c>
      <c r="H19" s="88">
        <f t="shared" si="1"/>
        <v>0</v>
      </c>
      <c r="I19" s="89">
        <f t="shared" si="1"/>
        <v>0</v>
      </c>
      <c r="J19" s="90">
        <f t="shared" si="1"/>
        <v>0</v>
      </c>
      <c r="K19" s="85">
        <f t="shared" si="1"/>
        <v>0</v>
      </c>
      <c r="L19" s="91">
        <f t="shared" si="1"/>
        <v>0</v>
      </c>
      <c r="M19" s="92"/>
      <c r="N19" s="23"/>
    </row>
    <row r="20" spans="1:14" ht="15.75">
      <c r="A20" s="1"/>
      <c r="B20" s="22"/>
      <c r="C20" s="93" t="s">
        <v>22</v>
      </c>
      <c r="D20" s="94"/>
      <c r="E20" s="94"/>
      <c r="F20" s="94"/>
      <c r="G20" s="95"/>
      <c r="H20" s="95"/>
      <c r="I20" s="95"/>
      <c r="J20" s="96"/>
      <c r="K20" s="96"/>
      <c r="L20" s="96"/>
      <c r="M20" s="96"/>
      <c r="N20" s="23"/>
    </row>
    <row r="21" spans="1:14" ht="15.75">
      <c r="A21" s="1"/>
      <c r="B21" s="22"/>
      <c r="C21" s="97" t="s">
        <v>23</v>
      </c>
      <c r="D21" s="98">
        <f>+D19+D20</f>
        <v>0</v>
      </c>
      <c r="E21" s="98">
        <f>+E19+E20</f>
        <v>0</v>
      </c>
      <c r="F21" s="98">
        <f>+F19+F20</f>
        <v>0</v>
      </c>
      <c r="G21" s="95"/>
      <c r="H21" s="95"/>
      <c r="I21" s="95"/>
      <c r="J21" s="99"/>
      <c r="K21" s="99"/>
      <c r="L21" s="99"/>
      <c r="M21" s="100"/>
      <c r="N21" s="23"/>
    </row>
    <row r="22" spans="1:14" ht="15.75">
      <c r="A22" s="1"/>
      <c r="B22" s="22"/>
      <c r="C22" s="25"/>
      <c r="D22" s="101"/>
      <c r="E22" s="101"/>
      <c r="F22" s="101"/>
      <c r="G22" s="95"/>
      <c r="H22" s="95"/>
      <c r="I22" s="95"/>
      <c r="J22" s="1"/>
      <c r="K22" s="1"/>
      <c r="L22" s="1"/>
      <c r="M22" s="1"/>
      <c r="N22" s="23"/>
    </row>
    <row r="23" spans="1:14" ht="15.75">
      <c r="A23" s="1"/>
      <c r="B23" s="22"/>
      <c r="C23" s="99"/>
      <c r="D23" s="99"/>
      <c r="E23" s="99"/>
      <c r="F23" s="96"/>
      <c r="G23" s="102"/>
      <c r="H23" s="102"/>
      <c r="I23" s="102"/>
      <c r="J23" s="103"/>
      <c r="K23" s="103"/>
      <c r="L23" s="103"/>
      <c r="M23" s="103"/>
      <c r="N23" s="23"/>
    </row>
    <row r="24" spans="1:14" ht="15.75">
      <c r="A24" s="1"/>
      <c r="B24" s="22"/>
      <c r="C24" s="104" t="s">
        <v>24</v>
      </c>
      <c r="D24" s="104"/>
      <c r="E24" s="104"/>
      <c r="F24" s="96"/>
      <c r="G24" s="102"/>
      <c r="H24" s="102"/>
      <c r="I24" s="104" t="s">
        <v>25</v>
      </c>
      <c r="J24" s="104"/>
      <c r="K24" s="104"/>
      <c r="L24" s="105"/>
      <c r="M24" s="106"/>
      <c r="N24" s="23"/>
    </row>
    <row r="25" spans="1:14" ht="15.75">
      <c r="A25" s="1"/>
      <c r="B25" s="22"/>
      <c r="C25" s="107"/>
      <c r="D25" s="108"/>
      <c r="E25" s="109" t="s">
        <v>21</v>
      </c>
      <c r="F25" s="109" t="s">
        <v>26</v>
      </c>
      <c r="G25" s="110" t="s">
        <v>23</v>
      </c>
      <c r="H25" s="1"/>
      <c r="I25" s="107"/>
      <c r="J25" s="108"/>
      <c r="K25" s="109" t="s">
        <v>21</v>
      </c>
      <c r="L25" s="109" t="s">
        <v>26</v>
      </c>
      <c r="M25" s="110" t="s">
        <v>23</v>
      </c>
      <c r="N25" s="23"/>
    </row>
    <row r="26" spans="1:14" ht="15.75">
      <c r="A26" s="1"/>
      <c r="B26" s="22"/>
      <c r="C26" s="111" t="s">
        <v>27</v>
      </c>
      <c r="D26" s="112"/>
      <c r="E26" s="113">
        <f>E19</f>
        <v>0</v>
      </c>
      <c r="F26" s="113">
        <f>+E20</f>
        <v>0</v>
      </c>
      <c r="G26" s="114">
        <f>+E26+F26</f>
        <v>0</v>
      </c>
      <c r="H26" s="1"/>
      <c r="I26" s="111" t="s">
        <v>27</v>
      </c>
      <c r="J26" s="112"/>
      <c r="K26" s="115">
        <f>+F19</f>
        <v>0</v>
      </c>
      <c r="L26" s="115">
        <f>+F20</f>
        <v>0</v>
      </c>
      <c r="M26" s="114">
        <f>+K26+L26</f>
        <v>0</v>
      </c>
      <c r="N26" s="23"/>
    </row>
    <row r="27" spans="1:14" ht="15.75">
      <c r="A27" s="1"/>
      <c r="B27" s="22"/>
      <c r="C27" s="111" t="s">
        <v>28</v>
      </c>
      <c r="D27" s="112"/>
      <c r="E27" s="116"/>
      <c r="F27" s="116"/>
      <c r="G27" s="114">
        <f>+E27+F27</f>
        <v>0</v>
      </c>
      <c r="H27" s="1"/>
      <c r="I27" s="111" t="s">
        <v>28</v>
      </c>
      <c r="J27" s="112"/>
      <c r="K27" s="116">
        <f>SUM(K28:K30)</f>
        <v>0</v>
      </c>
      <c r="L27" s="116">
        <f>SUM(L28:L30)</f>
        <v>0</v>
      </c>
      <c r="M27" s="114">
        <f>+K27+L27</f>
        <v>0</v>
      </c>
      <c r="N27" s="23"/>
    </row>
    <row r="28" spans="1:14" ht="15.75">
      <c r="A28" s="1"/>
      <c r="B28" s="22"/>
      <c r="C28" s="117" t="s">
        <v>17</v>
      </c>
      <c r="D28" s="118"/>
      <c r="E28" s="119"/>
      <c r="F28" s="119"/>
      <c r="G28" s="120"/>
      <c r="H28" s="1"/>
      <c r="I28" s="117" t="s">
        <v>29</v>
      </c>
      <c r="J28" s="118"/>
      <c r="K28" s="121">
        <v>0</v>
      </c>
      <c r="L28" s="121">
        <v>0</v>
      </c>
      <c r="M28" s="120"/>
      <c r="N28" s="23"/>
    </row>
    <row r="29" spans="1:14" ht="15.75">
      <c r="A29" s="1"/>
      <c r="B29" s="22"/>
      <c r="C29" s="122" t="s">
        <v>30</v>
      </c>
      <c r="D29" s="123"/>
      <c r="E29" s="119"/>
      <c r="F29" s="119"/>
      <c r="G29" s="120"/>
      <c r="H29" s="1"/>
      <c r="I29" s="122" t="s">
        <v>31</v>
      </c>
      <c r="J29" s="123"/>
      <c r="K29" s="121"/>
      <c r="L29" s="121">
        <v>0</v>
      </c>
      <c r="M29" s="120"/>
      <c r="N29" s="23"/>
    </row>
    <row r="30" spans="1:14" ht="16.5">
      <c r="A30" s="1"/>
      <c r="B30" s="22"/>
      <c r="C30" s="124" t="s">
        <v>32</v>
      </c>
      <c r="D30" s="125"/>
      <c r="E30" s="119"/>
      <c r="F30" s="119"/>
      <c r="G30" s="120"/>
      <c r="H30" s="1"/>
      <c r="I30" s="117" t="s">
        <v>33</v>
      </c>
      <c r="J30" s="118"/>
      <c r="K30" s="121">
        <v>0</v>
      </c>
      <c r="L30" s="121">
        <v>0</v>
      </c>
      <c r="M30" s="120"/>
      <c r="N30" s="23"/>
    </row>
    <row r="31" spans="1:14" ht="16.5">
      <c r="A31" s="1"/>
      <c r="B31" s="22"/>
      <c r="C31" s="124" t="s">
        <v>34</v>
      </c>
      <c r="D31" s="125"/>
      <c r="E31" s="119"/>
      <c r="F31" s="119"/>
      <c r="G31" s="120"/>
      <c r="H31" s="1"/>
      <c r="I31" s="117" t="s">
        <v>35</v>
      </c>
      <c r="J31" s="118"/>
      <c r="K31" s="121">
        <v>0</v>
      </c>
      <c r="L31" s="121">
        <v>0</v>
      </c>
      <c r="M31" s="120"/>
      <c r="N31" s="23"/>
    </row>
    <row r="32" spans="1:14" ht="15.75">
      <c r="A32" s="1"/>
      <c r="B32" s="22"/>
      <c r="C32" s="126" t="s">
        <v>36</v>
      </c>
      <c r="D32" s="99"/>
      <c r="E32" s="127">
        <f>E26+E27+E28+E29+E30+E31</f>
        <v>0</v>
      </c>
      <c r="F32" s="127">
        <f>F26+F27+F28+F29+F30+F31</f>
        <v>0</v>
      </c>
      <c r="G32" s="128">
        <f>E32+F32</f>
        <v>0</v>
      </c>
      <c r="H32" s="1"/>
      <c r="I32" s="126" t="s">
        <v>37</v>
      </c>
      <c r="J32" s="99"/>
      <c r="K32" s="129">
        <f>+K26+K27</f>
        <v>0</v>
      </c>
      <c r="L32" s="129">
        <f>+L26+L27</f>
        <v>0</v>
      </c>
      <c r="M32" s="130">
        <f>+M26+M27</f>
        <v>0</v>
      </c>
      <c r="N32" s="23"/>
    </row>
    <row r="33" spans="1:14" ht="15.75">
      <c r="A33" s="1"/>
      <c r="B33" s="22"/>
      <c r="C33" s="131"/>
      <c r="D33" s="132"/>
      <c r="E33" s="105"/>
      <c r="F33" s="105"/>
      <c r="G33" s="133"/>
      <c r="H33" s="134"/>
      <c r="I33" s="126" t="s">
        <v>37</v>
      </c>
      <c r="J33" s="99"/>
      <c r="K33" s="129">
        <f>+K28+K29</f>
        <v>0</v>
      </c>
      <c r="L33" s="129">
        <f>+L28+L29</f>
        <v>0</v>
      </c>
      <c r="M33" s="130">
        <f>+M28+M29</f>
        <v>0</v>
      </c>
      <c r="N33" s="23"/>
    </row>
    <row r="34" spans="1:14" ht="15.75">
      <c r="A34" s="1"/>
      <c r="B34" s="22"/>
      <c r="C34" s="135" t="s">
        <v>38</v>
      </c>
      <c r="D34" s="136"/>
      <c r="E34" s="136"/>
      <c r="F34" s="136"/>
      <c r="G34" s="137">
        <f>G32</f>
        <v>0</v>
      </c>
      <c r="H34" s="138"/>
      <c r="I34" s="139" t="s">
        <v>39</v>
      </c>
      <c r="J34" s="140"/>
      <c r="K34" s="140"/>
      <c r="L34" s="140"/>
      <c r="M34" s="141"/>
      <c r="N34" s="23"/>
    </row>
    <row r="35" spans="1:14" ht="15.75">
      <c r="A35" s="1"/>
      <c r="B35" s="142"/>
      <c r="C35" s="1"/>
      <c r="D35" s="1"/>
      <c r="E35" s="1"/>
      <c r="F35" s="1"/>
      <c r="G35" s="1"/>
      <c r="H35" s="102"/>
      <c r="I35" s="143" t="s">
        <v>40</v>
      </c>
      <c r="J35" s="143"/>
      <c r="K35" s="143"/>
      <c r="L35" s="143"/>
      <c r="M35" s="105"/>
      <c r="N35" s="144"/>
    </row>
    <row r="36" spans="1:14" ht="15.75">
      <c r="A36" s="1"/>
      <c r="B36" s="142"/>
      <c r="C36" s="103" t="s">
        <v>41</v>
      </c>
      <c r="D36" s="103"/>
      <c r="E36" s="103"/>
      <c r="F36" s="103"/>
      <c r="G36" s="103"/>
      <c r="H36" s="1"/>
      <c r="I36" s="143" t="s">
        <v>42</v>
      </c>
      <c r="J36" s="143"/>
      <c r="K36" s="143"/>
      <c r="L36" s="143"/>
      <c r="M36" s="105"/>
      <c r="N36" s="23"/>
    </row>
    <row r="37" spans="1:14" ht="15.75">
      <c r="A37" s="1"/>
      <c r="B37" s="142"/>
      <c r="C37" s="143" t="s">
        <v>43</v>
      </c>
      <c r="D37" s="143"/>
      <c r="E37" s="143"/>
      <c r="F37" s="143"/>
      <c r="G37" s="105">
        <v>0</v>
      </c>
      <c r="H37" s="1"/>
      <c r="I37" s="143" t="s">
        <v>44</v>
      </c>
      <c r="J37" s="143"/>
      <c r="K37" s="143"/>
      <c r="L37" s="143"/>
      <c r="M37" s="105"/>
      <c r="N37" s="23"/>
    </row>
    <row r="38" spans="1:14" ht="15.75">
      <c r="A38" s="1"/>
      <c r="B38" s="22"/>
      <c r="C38" s="143" t="s">
        <v>45</v>
      </c>
      <c r="D38" s="143"/>
      <c r="E38" s="143"/>
      <c r="F38" s="143"/>
      <c r="G38" s="105"/>
      <c r="H38" s="1"/>
      <c r="I38" s="143" t="s">
        <v>46</v>
      </c>
      <c r="J38" s="143"/>
      <c r="K38" s="143"/>
      <c r="L38" s="143"/>
      <c r="M38" s="105"/>
      <c r="N38" s="23"/>
    </row>
    <row r="39" spans="1:14" ht="15.75">
      <c r="A39" s="1"/>
      <c r="B39" s="22"/>
      <c r="C39" s="1"/>
      <c r="D39" s="1"/>
      <c r="E39" s="1"/>
      <c r="F39" s="1"/>
      <c r="G39" s="1"/>
      <c r="H39" s="1"/>
      <c r="I39" s="143" t="s">
        <v>47</v>
      </c>
      <c r="J39" s="143"/>
      <c r="K39" s="143"/>
      <c r="L39" s="143"/>
      <c r="M39" s="105"/>
      <c r="N39" s="23"/>
    </row>
    <row r="40" spans="1:14" ht="15.75">
      <c r="A40" s="1"/>
      <c r="B40" s="22"/>
      <c r="C40" s="143" t="s">
        <v>48</v>
      </c>
      <c r="D40" s="143"/>
      <c r="E40" s="143"/>
      <c r="F40" s="143"/>
      <c r="G40" s="105"/>
      <c r="H40" s="1"/>
      <c r="I40" s="143" t="s">
        <v>49</v>
      </c>
      <c r="J40" s="143"/>
      <c r="K40" s="143"/>
      <c r="L40" s="143"/>
      <c r="M40" s="105"/>
      <c r="N40" s="145"/>
    </row>
    <row r="41" spans="1:14" ht="15.75">
      <c r="A41" s="1"/>
      <c r="B41" s="22"/>
      <c r="C41" s="143" t="s">
        <v>50</v>
      </c>
      <c r="D41" s="143"/>
      <c r="E41" s="143"/>
      <c r="F41" s="143"/>
      <c r="G41" s="105"/>
      <c r="H41" s="1"/>
      <c r="I41" s="143" t="s">
        <v>51</v>
      </c>
      <c r="J41" s="143"/>
      <c r="K41" s="143"/>
      <c r="L41" s="143"/>
      <c r="M41" s="146"/>
      <c r="N41" s="23"/>
    </row>
    <row r="42" spans="1:14" ht="15.75">
      <c r="A42" s="1"/>
      <c r="B42" s="22"/>
      <c r="C42" s="99" t="s">
        <v>52</v>
      </c>
      <c r="D42" s="99"/>
      <c r="E42" s="99"/>
      <c r="F42" s="99"/>
      <c r="G42" s="147">
        <f>+G37+G38-G40-G41</f>
        <v>0</v>
      </c>
      <c r="H42" s="1"/>
      <c r="I42" s="99" t="s">
        <v>53</v>
      </c>
      <c r="J42" s="99"/>
      <c r="K42" s="99"/>
      <c r="L42" s="99"/>
      <c r="M42" s="147">
        <f>SUM(M35:M41)</f>
        <v>0</v>
      </c>
      <c r="N42" s="145"/>
    </row>
    <row r="43" spans="1:14" ht="15.75">
      <c r="A43" s="1"/>
      <c r="B43" s="2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48"/>
    </row>
    <row r="44" spans="1:14" ht="23.25">
      <c r="A44" s="1"/>
      <c r="B44" s="22"/>
      <c r="C44" s="132"/>
      <c r="D44" s="132"/>
      <c r="E44" s="132"/>
      <c r="F44" s="132"/>
      <c r="G44" s="105"/>
      <c r="H44" s="149"/>
      <c r="I44" s="103" t="s">
        <v>54</v>
      </c>
      <c r="J44" s="103"/>
      <c r="K44" s="103"/>
      <c r="L44" s="150">
        <f>+G34+G42+M42</f>
        <v>0</v>
      </c>
      <c r="M44" s="150"/>
      <c r="N44" s="145"/>
    </row>
    <row r="45" spans="1:14" ht="15.75">
      <c r="A45" s="1"/>
      <c r="B45" s="22"/>
      <c r="C45" s="1"/>
      <c r="D45" s="1"/>
      <c r="E45" s="1"/>
      <c r="F45" s="1"/>
      <c r="G45" s="1"/>
      <c r="H45" s="151"/>
      <c r="I45" s="1"/>
      <c r="J45" s="1"/>
      <c r="K45" s="1"/>
      <c r="L45" s="1"/>
      <c r="M45" s="1"/>
      <c r="N45" s="145"/>
    </row>
    <row r="46" spans="1:14" ht="15.75">
      <c r="A46" s="1"/>
      <c r="B46" s="22"/>
      <c r="C46" s="152" t="s">
        <v>55</v>
      </c>
      <c r="D46" s="152"/>
      <c r="E46" s="153"/>
      <c r="F46" s="153"/>
      <c r="G46" s="151"/>
      <c r="H46" s="151"/>
      <c r="I46" s="151"/>
      <c r="J46" s="138"/>
      <c r="K46" s="138"/>
      <c r="L46" s="138"/>
      <c r="M46" s="138"/>
      <c r="N46" s="145"/>
    </row>
    <row r="47" spans="1:14" ht="15.75">
      <c r="A47" s="154"/>
      <c r="B47" s="155"/>
      <c r="C47" s="156" t="s">
        <v>56</v>
      </c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48"/>
    </row>
    <row r="48" spans="1:14" ht="15.75">
      <c r="A48" s="154"/>
      <c r="B48" s="157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48"/>
    </row>
    <row r="49" spans="1:14" ht="15.75">
      <c r="A49" s="1"/>
      <c r="B49" s="158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48"/>
    </row>
    <row r="50" spans="1:14" ht="15.75">
      <c r="A50" s="1"/>
      <c r="B50" s="158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48"/>
    </row>
    <row r="51" spans="1:14" ht="15.75">
      <c r="A51" s="1"/>
      <c r="B51" s="160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48"/>
    </row>
    <row r="52" spans="1:14" ht="15.75">
      <c r="A52" s="1"/>
      <c r="B52" s="160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48"/>
    </row>
    <row r="53" spans="1:14" ht="15.75">
      <c r="A53" s="1"/>
      <c r="B53" s="162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45"/>
    </row>
    <row r="54" spans="1:14" ht="15.75">
      <c r="A54" s="1"/>
      <c r="B54" s="164"/>
      <c r="C54" s="165"/>
      <c r="D54" s="165"/>
      <c r="E54" s="165"/>
      <c r="F54" s="165"/>
      <c r="G54" s="165"/>
      <c r="H54" s="165"/>
      <c r="I54" s="165"/>
      <c r="J54" s="165"/>
      <c r="K54" s="166"/>
      <c r="L54" s="166"/>
      <c r="M54" s="166"/>
      <c r="N54" s="167"/>
    </row>
    <row r="55" spans="1:14" ht="15.75">
      <c r="A55" s="1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 ht="15.75">
      <c r="A56" s="1"/>
      <c r="B56" s="19"/>
      <c r="C56" s="168" t="s">
        <v>57</v>
      </c>
      <c r="D56" s="168"/>
      <c r="E56" s="20"/>
      <c r="F56" s="20"/>
      <c r="G56" s="168" t="s">
        <v>58</v>
      </c>
      <c r="H56" s="168"/>
      <c r="I56" s="168"/>
      <c r="J56" s="20"/>
      <c r="K56" s="20"/>
      <c r="L56" s="168" t="s">
        <v>59</v>
      </c>
      <c r="M56" s="168"/>
      <c r="N56" s="21"/>
    </row>
    <row r="57" spans="1:14" ht="15.75">
      <c r="A57" s="1"/>
      <c r="B57" s="22"/>
      <c r="C57" s="169" t="s">
        <v>60</v>
      </c>
      <c r="D57" s="169"/>
      <c r="E57" s="1"/>
      <c r="F57" s="1"/>
      <c r="G57" s="169" t="s">
        <v>61</v>
      </c>
      <c r="H57" s="169"/>
      <c r="I57" s="169"/>
      <c r="J57" s="1"/>
      <c r="K57" s="1"/>
      <c r="L57" s="169"/>
      <c r="M57" s="169"/>
      <c r="N57" s="23"/>
    </row>
    <row r="58" spans="1:14" ht="15.75">
      <c r="A58" s="1"/>
      <c r="B58" s="170"/>
      <c r="C58" s="171" t="s">
        <v>62</v>
      </c>
      <c r="D58" s="171"/>
      <c r="E58" s="172"/>
      <c r="F58" s="172"/>
      <c r="G58" s="171" t="s">
        <v>63</v>
      </c>
      <c r="H58" s="171"/>
      <c r="I58" s="171"/>
      <c r="J58" s="172"/>
      <c r="K58" s="172"/>
      <c r="L58" s="171" t="s">
        <v>64</v>
      </c>
      <c r="M58" s="171"/>
      <c r="N58" s="173"/>
    </row>
    <row r="59" spans="1:14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>
      <c r="A61" s="1"/>
      <c r="B61" s="1"/>
      <c r="C61" s="174" t="s">
        <v>65</v>
      </c>
      <c r="D61" s="174" t="s">
        <v>66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>
      <c r="A62" s="1"/>
      <c r="B62" s="1"/>
      <c r="C62" s="175" t="s">
        <v>67</v>
      </c>
      <c r="D62" s="176">
        <f>G37+G38</f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>
      <c r="A63" s="1"/>
      <c r="B63" s="1"/>
      <c r="C63" s="175" t="s">
        <v>68</v>
      </c>
      <c r="D63" s="176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>
      <c r="A64" s="1"/>
      <c r="B64" s="1"/>
      <c r="C64" s="175" t="s">
        <v>69</v>
      </c>
      <c r="D64" s="176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>
      <c r="A65" s="1"/>
      <c r="B65" s="1"/>
      <c r="C65" s="175" t="s">
        <v>70</v>
      </c>
      <c r="D65" s="176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>
      <c r="A66" s="1"/>
      <c r="B66" s="1"/>
      <c r="C66" s="175" t="s">
        <v>71</v>
      </c>
      <c r="D66" s="176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>
      <c r="A69" s="1"/>
      <c r="B69" s="1"/>
      <c r="C69" s="177" t="s">
        <v>23</v>
      </c>
      <c r="D69" s="176">
        <f>D62+D63+D64+D65+D66+D67+D68</f>
        <v>0</v>
      </c>
      <c r="E69" s="1"/>
      <c r="F69" s="1"/>
      <c r="G69" s="1"/>
      <c r="H69" s="1"/>
      <c r="I69" s="1"/>
      <c r="J69" s="1"/>
      <c r="K69" s="178" t="s">
        <v>72</v>
      </c>
      <c r="L69" s="179">
        <f>D69-L44</f>
        <v>0</v>
      </c>
      <c r="M69" s="1"/>
      <c r="N69" s="1"/>
    </row>
    <row r="70" spans="1:14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protectedRanges>
    <protectedRange sqref="D14:I18" name="CAPTURA  CIA ERPCO"/>
    <protectedRange sqref="E27:F31" name="CAPTURA MANUAL EFECTIVO ABORDO"/>
    <protectedRange sqref="K28:M31" name="CAPTURA MANUAL AHORROBUS"/>
    <protectedRange sqref="G37:G41" name="DEPOSITOS EN CAMINO"/>
    <protectedRange sqref="M35:M41" name="AVA E INGRESOS MARCA"/>
    <protectedRange sqref="I41:L41" name="OTROS INGRESOS MODIFICACION"/>
    <protectedRange sqref="C57:M57" name="FIRMAS"/>
    <protectedRange sqref="C46:M54" name="OBSERVACIONES"/>
    <protectedRange sqref="C63:D68" name="FICHAS DEPOSITOS"/>
    <protectedRange sqref="D20:F20" name="TOTALES DE IVA"/>
    <protectedRange sqref="M9" name="FECHA"/>
  </protectedRanges>
  <mergeCells count="63">
    <mergeCell ref="C58:D58"/>
    <mergeCell ref="G58:I58"/>
    <mergeCell ref="L58:M58"/>
    <mergeCell ref="C51:M51"/>
    <mergeCell ref="C52:M52"/>
    <mergeCell ref="C56:D56"/>
    <mergeCell ref="G56:I56"/>
    <mergeCell ref="L56:M56"/>
    <mergeCell ref="C57:D57"/>
    <mergeCell ref="G57:I57"/>
    <mergeCell ref="L57:M57"/>
    <mergeCell ref="I44:K44"/>
    <mergeCell ref="L44:M44"/>
    <mergeCell ref="C46:D46"/>
    <mergeCell ref="C47:M47"/>
    <mergeCell ref="C49:M49"/>
    <mergeCell ref="C50:M50"/>
    <mergeCell ref="I39:L39"/>
    <mergeCell ref="C40:F40"/>
    <mergeCell ref="I40:L40"/>
    <mergeCell ref="C41:F41"/>
    <mergeCell ref="I41:L41"/>
    <mergeCell ref="C42:F42"/>
    <mergeCell ref="I42:L42"/>
    <mergeCell ref="I35:L35"/>
    <mergeCell ref="C36:G36"/>
    <mergeCell ref="I36:L36"/>
    <mergeCell ref="C37:F37"/>
    <mergeCell ref="I37:L37"/>
    <mergeCell ref="C38:F38"/>
    <mergeCell ref="I38:L38"/>
    <mergeCell ref="I30:J30"/>
    <mergeCell ref="I31:J31"/>
    <mergeCell ref="C32:D32"/>
    <mergeCell ref="I32:J32"/>
    <mergeCell ref="I33:J33"/>
    <mergeCell ref="C34:F34"/>
    <mergeCell ref="I34:M34"/>
    <mergeCell ref="C27:D27"/>
    <mergeCell ref="I27:J27"/>
    <mergeCell ref="C28:D28"/>
    <mergeCell ref="I28:J28"/>
    <mergeCell ref="C29:D29"/>
    <mergeCell ref="I29:J29"/>
    <mergeCell ref="J21:L21"/>
    <mergeCell ref="C23:E23"/>
    <mergeCell ref="J23:M23"/>
    <mergeCell ref="C24:E24"/>
    <mergeCell ref="I24:K24"/>
    <mergeCell ref="C26:D26"/>
    <mergeCell ref="I26:J26"/>
    <mergeCell ref="D9:E9"/>
    <mergeCell ref="C12:C13"/>
    <mergeCell ref="D12:F12"/>
    <mergeCell ref="G12:I12"/>
    <mergeCell ref="J12:L12"/>
    <mergeCell ref="M12:M13"/>
    <mergeCell ref="B2:D5"/>
    <mergeCell ref="E2:K5"/>
    <mergeCell ref="L2:N2"/>
    <mergeCell ref="L3:N3"/>
    <mergeCell ref="L4:N4"/>
    <mergeCell ref="L5:N5"/>
  </mergeCells>
  <conditionalFormatting sqref="J14:L18">
    <cfRule type="cellIs" dxfId="1" priority="2" operator="greaterThan">
      <formula>0</formula>
    </cfRule>
    <cfRule type="cellIs" priority="3" operator="notBetween">
      <formula>0</formula>
      <formula>0</formula>
    </cfRule>
  </conditionalFormatting>
  <conditionalFormatting sqref="J14:L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2026-07-21T21:10:28Z</dcterms:created>
  <dcterms:modified xsi:type="dcterms:W3CDTF">2026-07-21T21:11:45Z</dcterms:modified>
  <cp:category/>
  <cp:contentStatus/>
</cp:coreProperties>
</file>